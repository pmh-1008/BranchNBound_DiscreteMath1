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65B098BD-D42A-432E-997C-AF9465C618F6}" xr6:coauthVersionLast="47" xr6:coauthVersionMax="47" xr10:uidLastSave="{00000000-0000-0000-0000-000000000000}"/>
  <bookViews>
    <workbookView xWindow="-110" yWindow="-110" windowWidth="19420" windowHeight="10300" xr2:uid="{4FFAC641-1B68-4321-BA04-A7137B23C17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7" i="1" l="1"/>
  <c r="C57" i="1"/>
  <c r="D46" i="1"/>
  <c r="C46" i="1"/>
  <c r="D35" i="1"/>
  <c r="C35" i="1"/>
  <c r="D24" i="1"/>
  <c r="C24" i="1"/>
  <c r="D13" i="1"/>
  <c r="C13" i="1"/>
</calcChain>
</file>

<file path=xl/sharedStrings.xml><?xml version="1.0" encoding="utf-8"?>
<sst xmlns="http://schemas.openxmlformats.org/spreadsheetml/2006/main" count="73" uniqueCount="64">
  <si>
    <t>Test 0</t>
  </si>
  <si>
    <t>Test 1</t>
  </si>
  <si>
    <t>Test 2</t>
  </si>
  <si>
    <t>Test 3</t>
  </si>
  <si>
    <t>Test 4</t>
  </si>
  <si>
    <t>Test 5</t>
  </si>
  <si>
    <t>Test 6</t>
  </si>
  <si>
    <t>Test 7</t>
  </si>
  <si>
    <t>Test 8</t>
  </si>
  <si>
    <t>Test 9</t>
  </si>
  <si>
    <t>Test 10</t>
  </si>
  <si>
    <t>Test 11</t>
  </si>
  <si>
    <t>Test 12</t>
  </si>
  <si>
    <t>Test 13</t>
  </si>
  <si>
    <t>Test 14</t>
  </si>
  <si>
    <t>Test 15</t>
  </si>
  <si>
    <t>Test 16</t>
  </si>
  <si>
    <t>Test 17</t>
  </si>
  <si>
    <t>Test 18</t>
  </si>
  <si>
    <t>Test 19</t>
  </si>
  <si>
    <t>Test 20</t>
  </si>
  <si>
    <t>Test 21</t>
  </si>
  <si>
    <t>Test 22</t>
  </si>
  <si>
    <t>Test 23</t>
  </si>
  <si>
    <t>Test 24</t>
  </si>
  <si>
    <t>Test 25</t>
  </si>
  <si>
    <t>Test 26</t>
  </si>
  <si>
    <t>Test 27</t>
  </si>
  <si>
    <t>Test 28</t>
  </si>
  <si>
    <t>Test 29</t>
  </si>
  <si>
    <t>Test 30</t>
  </si>
  <si>
    <t>Test 31</t>
  </si>
  <si>
    <t>Test 32</t>
  </si>
  <si>
    <t>Test 33</t>
  </si>
  <si>
    <t>Test 34</t>
  </si>
  <si>
    <t>Test 35</t>
  </si>
  <si>
    <t>Test 36</t>
  </si>
  <si>
    <t>Test 37</t>
  </si>
  <si>
    <t>Test 38</t>
  </si>
  <si>
    <t>Test 39</t>
  </si>
  <si>
    <t>Test 40</t>
  </si>
  <si>
    <t>Test 41</t>
  </si>
  <si>
    <t>Test 42</t>
  </si>
  <si>
    <t>Test 43</t>
  </si>
  <si>
    <t>Test 44</t>
  </si>
  <si>
    <t>Test 45</t>
  </si>
  <si>
    <t>Test 46</t>
  </si>
  <si>
    <t>Test 47</t>
  </si>
  <si>
    <t>Test 48</t>
  </si>
  <si>
    <t>Test 49</t>
  </si>
  <si>
    <t>Runtime (ms)</t>
  </si>
  <si>
    <t>branch-n-bound.cpp</t>
  </si>
  <si>
    <t>brute-force.cpp</t>
  </si>
  <si>
    <t>Testcase (m = 10)</t>
  </si>
  <si>
    <t>3 &lt;= n &lt; 8</t>
  </si>
  <si>
    <t>n = 8</t>
  </si>
  <si>
    <t>n = 9</t>
  </si>
  <si>
    <t>n = 10</t>
  </si>
  <si>
    <t>n = 11</t>
  </si>
  <si>
    <t>Average</t>
  </si>
  <si>
    <t>Average runtime (ms)</t>
  </si>
  <si>
    <t>n</t>
  </si>
  <si>
    <t>brute-force</t>
  </si>
  <si>
    <t>branch-n-bound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</si>
</sst>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303030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sz val="11"/>
      <color rgb="FF303030"/>
      <name val="Calibri Light"/>
      <family val="2"/>
      <scheme val="major"/>
    </font>
    <font>
      <b/>
      <sz val="11"/>
      <color theme="1"/>
      <name val="Calibri Light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Thời</a:t>
            </a:r>
            <a:r>
              <a:rPr lang="en-US" baseline="0"/>
              <a:t> gian chạy trung bình (ms) của chương trình giải bài toán lập lịch sản xuất</a:t>
            </a:r>
            <a:endParaRPr lang="en-US"/>
          </a:p>
        </c:rich>
      </c:tx>
      <c:layout>
        <c:manualLayout>
          <c:xMode val="edge"/>
          <c:yMode val="edge"/>
          <c:x val="0.1326832044718019"/>
          <c:y val="3.4631830014979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7785064689830642E-2"/>
          <c:y val="0.21200866661983339"/>
          <c:w val="0.86970771659010682"/>
          <c:h val="0.57248680965603427"/>
        </c:manualLayout>
      </c:layout>
      <c:lineChart>
        <c:grouping val="standard"/>
        <c:varyColors val="0"/>
        <c:ser>
          <c:idx val="0"/>
          <c:order val="0"/>
          <c:tx>
            <c:strRef>
              <c:f>Sheet1!$G$2</c:f>
              <c:strCache>
                <c:ptCount val="1"/>
                <c:pt idx="0">
                  <c:v>branch-n-bound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Sheet1!$F$3:$F$7</c:f>
              <c:strCache>
                <c:ptCount val="5"/>
                <c:pt idx="0">
                  <c:v>3 &lt;= n &lt; 8</c:v>
                </c:pt>
                <c:pt idx="1">
                  <c:v>n = 8</c:v>
                </c:pt>
                <c:pt idx="2">
                  <c:v>n = 9</c:v>
                </c:pt>
                <c:pt idx="3">
                  <c:v>n = 10</c:v>
                </c:pt>
                <c:pt idx="4">
                  <c:v>n = 11</c:v>
                </c:pt>
              </c:strCache>
            </c:strRef>
          </c:cat>
          <c:val>
            <c:numRef>
              <c:f>Sheet1!$G$3:$G$7</c:f>
              <c:numCache>
                <c:formatCode>General</c:formatCode>
                <c:ptCount val="5"/>
                <c:pt idx="0">
                  <c:v>0</c:v>
                </c:pt>
                <c:pt idx="1">
                  <c:v>1.3</c:v>
                </c:pt>
                <c:pt idx="2">
                  <c:v>8.5</c:v>
                </c:pt>
                <c:pt idx="3">
                  <c:v>66.400000000000006</c:v>
                </c:pt>
                <c:pt idx="4">
                  <c:v>544.4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B6-4B31-B44B-3A23DAE09C92}"/>
            </c:ext>
          </c:extLst>
        </c:ser>
        <c:ser>
          <c:idx val="1"/>
          <c:order val="1"/>
          <c:tx>
            <c:strRef>
              <c:f>Sheet1!$H$2</c:f>
              <c:strCache>
                <c:ptCount val="1"/>
                <c:pt idx="0">
                  <c:v>brute-force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Sheet1!$F$3:$F$7</c:f>
              <c:strCache>
                <c:ptCount val="5"/>
                <c:pt idx="0">
                  <c:v>3 &lt;= n &lt; 8</c:v>
                </c:pt>
                <c:pt idx="1">
                  <c:v>n = 8</c:v>
                </c:pt>
                <c:pt idx="2">
                  <c:v>n = 9</c:v>
                </c:pt>
                <c:pt idx="3">
                  <c:v>n = 10</c:v>
                </c:pt>
                <c:pt idx="4">
                  <c:v>n = 11</c:v>
                </c:pt>
              </c:strCache>
            </c:strRef>
          </c:cat>
          <c:val>
            <c:numRef>
              <c:f>Sheet1!$H$3:$H$7</c:f>
              <c:numCache>
                <c:formatCode>General</c:formatCode>
                <c:ptCount val="5"/>
                <c:pt idx="0">
                  <c:v>0</c:v>
                </c:pt>
                <c:pt idx="1">
                  <c:v>3.3</c:v>
                </c:pt>
                <c:pt idx="2">
                  <c:v>33.1</c:v>
                </c:pt>
                <c:pt idx="3">
                  <c:v>366.7</c:v>
                </c:pt>
                <c:pt idx="4">
                  <c:v>7230.1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B6-4B31-B44B-3A23DAE09C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4259624"/>
        <c:axId val="564252784"/>
      </c:lineChart>
      <c:catAx>
        <c:axId val="564259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252784"/>
        <c:crosses val="autoZero"/>
        <c:auto val="1"/>
        <c:lblAlgn val="ctr"/>
        <c:lblOffset val="100"/>
        <c:noMultiLvlLbl val="0"/>
      </c:catAx>
      <c:valAx>
        <c:axId val="564252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259624"/>
        <c:crosses val="autoZero"/>
        <c:crossBetween val="between"/>
      </c:valAx>
      <c:spPr>
        <a:noFill/>
        <a:ln w="12700">
          <a:noFill/>
        </a:ln>
        <a:effectLst/>
      </c:spPr>
    </c:plotArea>
    <c:legend>
      <c:legendPos val="b"/>
      <c:layout>
        <c:manualLayout>
          <c:xMode val="edge"/>
          <c:yMode val="edge"/>
          <c:x val="0.30294912841328697"/>
          <c:y val="0.87682387855886634"/>
          <c:w val="0.39113709119073314"/>
          <c:h val="0.1143404863363341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279400</xdr:colOff>
      <xdr:row>2</xdr:row>
      <xdr:rowOff>133351</xdr:rowOff>
    </xdr:from>
    <xdr:to>
      <xdr:col>9</xdr:col>
      <xdr:colOff>260350</xdr:colOff>
      <xdr:row>21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677EFC-A4BA-4715-9BC3-5A6FDDBCBF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DB132-40E9-4F2C-A4C1-BD245E7C0A7E}">
  <dimension ref="A1:H57"/>
  <sheetViews>
    <sheetView tabSelected="1" zoomScale="54" workbookViewId="0">
      <selection activeCell="M14" sqref="M14"/>
    </sheetView>
  </sheetViews>
  <sheetFormatPr defaultRowHeight="15" customHeight="1" x14ac:dyDescent="0.35"/>
  <cols>
    <col min="1" max="1" width="10.1796875" style="9" customWidth="1"/>
    <col min="2" max="2" width="10.81640625" style="6" customWidth="1"/>
    <col min="3" max="3" width="19.90625" style="6" customWidth="1"/>
    <col min="4" max="4" width="19.81640625" style="6" customWidth="1"/>
    <col min="5" max="5" width="8.7265625" style="6"/>
    <col min="6" max="6" width="11.08984375" style="6" customWidth="1"/>
    <col min="7" max="8" width="15.90625" style="6" customWidth="1"/>
    <col min="9" max="16384" width="8.7265625" style="6"/>
  </cols>
  <sheetData>
    <row r="1" spans="1:8" ht="15" customHeight="1" x14ac:dyDescent="0.35">
      <c r="A1" s="3" t="s">
        <v>53</v>
      </c>
      <c r="B1" s="3"/>
      <c r="C1" s="5" t="s">
        <v>50</v>
      </c>
      <c r="D1" s="5"/>
      <c r="F1" s="10" t="s">
        <v>61</v>
      </c>
      <c r="G1" s="10" t="s">
        <v>60</v>
      </c>
      <c r="H1" s="10"/>
    </row>
    <row r="2" spans="1:8" ht="15" customHeight="1" x14ac:dyDescent="0.35">
      <c r="A2" s="3"/>
      <c r="B2" s="3"/>
      <c r="C2" s="4" t="s">
        <v>51</v>
      </c>
      <c r="D2" s="4" t="s">
        <v>52</v>
      </c>
      <c r="F2" s="10"/>
      <c r="G2" s="11" t="s">
        <v>63</v>
      </c>
      <c r="H2" s="11" t="s">
        <v>62</v>
      </c>
    </row>
    <row r="3" spans="1:8" ht="15" customHeight="1" x14ac:dyDescent="0.35">
      <c r="A3" s="12" t="s">
        <v>54</v>
      </c>
      <c r="B3" s="1" t="s">
        <v>0</v>
      </c>
      <c r="C3" s="1">
        <v>0</v>
      </c>
      <c r="D3" s="1">
        <v>0</v>
      </c>
      <c r="F3" s="11" t="s">
        <v>54</v>
      </c>
      <c r="G3" s="7">
        <v>0</v>
      </c>
      <c r="H3" s="7">
        <v>0</v>
      </c>
    </row>
    <row r="4" spans="1:8" ht="15" customHeight="1" x14ac:dyDescent="0.35">
      <c r="A4" s="13"/>
      <c r="B4" s="1" t="s">
        <v>1</v>
      </c>
      <c r="C4" s="1">
        <v>0</v>
      </c>
      <c r="D4" s="1">
        <v>0</v>
      </c>
      <c r="F4" s="11" t="s">
        <v>55</v>
      </c>
      <c r="G4" s="7">
        <v>1.3</v>
      </c>
      <c r="H4" s="7">
        <v>3.3</v>
      </c>
    </row>
    <row r="5" spans="1:8" ht="15" customHeight="1" x14ac:dyDescent="0.35">
      <c r="A5" s="13"/>
      <c r="B5" s="1" t="s">
        <v>2</v>
      </c>
      <c r="C5" s="1">
        <v>0</v>
      </c>
      <c r="D5" s="1">
        <v>0</v>
      </c>
      <c r="F5" s="11" t="s">
        <v>56</v>
      </c>
      <c r="G5" s="7">
        <v>8.5</v>
      </c>
      <c r="H5" s="7">
        <v>33.1</v>
      </c>
    </row>
    <row r="6" spans="1:8" ht="15" customHeight="1" x14ac:dyDescent="0.35">
      <c r="A6" s="13"/>
      <c r="B6" s="1" t="s">
        <v>3</v>
      </c>
      <c r="C6" s="1">
        <v>0</v>
      </c>
      <c r="D6" s="1">
        <v>0</v>
      </c>
      <c r="F6" s="11" t="s">
        <v>57</v>
      </c>
      <c r="G6" s="7">
        <v>66.400000000000006</v>
      </c>
      <c r="H6" s="7">
        <v>366.7</v>
      </c>
    </row>
    <row r="7" spans="1:8" ht="15" customHeight="1" x14ac:dyDescent="0.35">
      <c r="A7" s="13"/>
      <c r="B7" s="1" t="s">
        <v>4</v>
      </c>
      <c r="C7" s="1">
        <v>0</v>
      </c>
      <c r="D7" s="1">
        <v>0</v>
      </c>
      <c r="F7" s="11" t="s">
        <v>58</v>
      </c>
      <c r="G7" s="7">
        <v>544.4</v>
      </c>
      <c r="H7" s="7">
        <v>7230.1</v>
      </c>
    </row>
    <row r="8" spans="1:8" ht="15" customHeight="1" x14ac:dyDescent="0.35">
      <c r="A8" s="13"/>
      <c r="B8" s="1" t="s">
        <v>5</v>
      </c>
      <c r="C8" s="1">
        <v>0</v>
      </c>
      <c r="D8" s="1">
        <v>0</v>
      </c>
    </row>
    <row r="9" spans="1:8" ht="15" customHeight="1" x14ac:dyDescent="0.35">
      <c r="A9" s="13"/>
      <c r="B9" s="1" t="s">
        <v>6</v>
      </c>
      <c r="C9" s="1">
        <v>0</v>
      </c>
      <c r="D9" s="1">
        <v>0</v>
      </c>
    </row>
    <row r="10" spans="1:8" ht="15" customHeight="1" x14ac:dyDescent="0.35">
      <c r="A10" s="13"/>
      <c r="B10" s="1" t="s">
        <v>7</v>
      </c>
      <c r="C10" s="1">
        <v>0</v>
      </c>
      <c r="D10" s="1">
        <v>0</v>
      </c>
    </row>
    <row r="11" spans="1:8" ht="15" customHeight="1" x14ac:dyDescent="0.35">
      <c r="A11" s="13"/>
      <c r="B11" s="1" t="s">
        <v>8</v>
      </c>
      <c r="C11" s="1">
        <v>0</v>
      </c>
      <c r="D11" s="1">
        <v>0</v>
      </c>
    </row>
    <row r="12" spans="1:8" ht="15" customHeight="1" x14ac:dyDescent="0.35">
      <c r="A12" s="13"/>
      <c r="B12" s="1" t="s">
        <v>9</v>
      </c>
      <c r="C12" s="1">
        <v>0</v>
      </c>
      <c r="D12" s="1">
        <v>0</v>
      </c>
    </row>
    <row r="13" spans="1:8" s="9" customFormat="1" ht="15" customHeight="1" x14ac:dyDescent="0.35">
      <c r="A13" s="14"/>
      <c r="B13" s="8" t="s">
        <v>59</v>
      </c>
      <c r="C13" s="8">
        <f>AVERAGE(C3:C12)</f>
        <v>0</v>
      </c>
      <c r="D13" s="8">
        <f>AVERAGE(D3:D12)</f>
        <v>0</v>
      </c>
    </row>
    <row r="14" spans="1:8" ht="15" customHeight="1" x14ac:dyDescent="0.35">
      <c r="A14" s="12" t="s">
        <v>55</v>
      </c>
      <c r="B14" s="1" t="s">
        <v>10</v>
      </c>
      <c r="C14" s="1">
        <v>2</v>
      </c>
      <c r="D14" s="1">
        <v>4</v>
      </c>
    </row>
    <row r="15" spans="1:8" ht="15" customHeight="1" x14ac:dyDescent="0.35">
      <c r="A15" s="13"/>
      <c r="B15" s="1" t="s">
        <v>11</v>
      </c>
      <c r="C15" s="1">
        <v>2</v>
      </c>
      <c r="D15" s="1">
        <v>4</v>
      </c>
    </row>
    <row r="16" spans="1:8" ht="15" customHeight="1" x14ac:dyDescent="0.35">
      <c r="A16" s="13"/>
      <c r="B16" s="1" t="s">
        <v>12</v>
      </c>
      <c r="C16" s="1">
        <v>1</v>
      </c>
      <c r="D16" s="1">
        <v>4</v>
      </c>
    </row>
    <row r="17" spans="1:4" ht="15" customHeight="1" x14ac:dyDescent="0.35">
      <c r="A17" s="13"/>
      <c r="B17" s="1" t="s">
        <v>13</v>
      </c>
      <c r="C17" s="1">
        <v>1</v>
      </c>
      <c r="D17" s="1">
        <v>5</v>
      </c>
    </row>
    <row r="18" spans="1:4" ht="15" customHeight="1" x14ac:dyDescent="0.35">
      <c r="A18" s="13"/>
      <c r="B18" s="1" t="s">
        <v>14</v>
      </c>
      <c r="C18" s="1">
        <v>1</v>
      </c>
      <c r="D18" s="1">
        <v>3</v>
      </c>
    </row>
    <row r="19" spans="1:4" ht="15" customHeight="1" x14ac:dyDescent="0.35">
      <c r="A19" s="13"/>
      <c r="B19" s="1" t="s">
        <v>15</v>
      </c>
      <c r="C19" s="1">
        <v>2</v>
      </c>
      <c r="D19" s="1">
        <v>3</v>
      </c>
    </row>
    <row r="20" spans="1:4" ht="15" customHeight="1" x14ac:dyDescent="0.35">
      <c r="A20" s="13"/>
      <c r="B20" s="1" t="s">
        <v>16</v>
      </c>
      <c r="C20" s="1">
        <v>1</v>
      </c>
      <c r="D20" s="1">
        <v>3</v>
      </c>
    </row>
    <row r="21" spans="1:4" ht="15" customHeight="1" x14ac:dyDescent="0.35">
      <c r="A21" s="13"/>
      <c r="B21" s="1" t="s">
        <v>17</v>
      </c>
      <c r="C21" s="1">
        <v>1</v>
      </c>
      <c r="D21" s="1">
        <v>2</v>
      </c>
    </row>
    <row r="22" spans="1:4" ht="15" customHeight="1" x14ac:dyDescent="0.35">
      <c r="A22" s="13"/>
      <c r="B22" s="1" t="s">
        <v>18</v>
      </c>
      <c r="C22" s="1">
        <v>1</v>
      </c>
      <c r="D22" s="1">
        <v>2</v>
      </c>
    </row>
    <row r="23" spans="1:4" ht="15" customHeight="1" x14ac:dyDescent="0.35">
      <c r="A23" s="13"/>
      <c r="B23" s="1" t="s">
        <v>19</v>
      </c>
      <c r="C23" s="1">
        <v>1</v>
      </c>
      <c r="D23" s="1">
        <v>3</v>
      </c>
    </row>
    <row r="24" spans="1:4" s="9" customFormat="1" ht="15" customHeight="1" x14ac:dyDescent="0.35">
      <c r="A24" s="14"/>
      <c r="B24" s="8" t="s">
        <v>59</v>
      </c>
      <c r="C24" s="8">
        <f>AVERAGE(C14:C23)</f>
        <v>1.3</v>
      </c>
      <c r="D24" s="8">
        <f>AVERAGE(D14:D23)</f>
        <v>3.3</v>
      </c>
    </row>
    <row r="25" spans="1:4" ht="15" customHeight="1" x14ac:dyDescent="0.35">
      <c r="A25" s="12" t="s">
        <v>56</v>
      </c>
      <c r="B25" s="2" t="s">
        <v>20</v>
      </c>
      <c r="C25" s="1">
        <v>10</v>
      </c>
      <c r="D25" s="1">
        <v>29</v>
      </c>
    </row>
    <row r="26" spans="1:4" ht="15" customHeight="1" x14ac:dyDescent="0.35">
      <c r="A26" s="13"/>
      <c r="B26" s="1" t="s">
        <v>21</v>
      </c>
      <c r="C26" s="1">
        <v>6</v>
      </c>
      <c r="D26" s="1">
        <v>26</v>
      </c>
    </row>
    <row r="27" spans="1:4" ht="15" customHeight="1" x14ac:dyDescent="0.35">
      <c r="A27" s="13"/>
      <c r="B27" s="1" t="s">
        <v>22</v>
      </c>
      <c r="C27" s="1">
        <v>3</v>
      </c>
      <c r="D27" s="1">
        <v>26</v>
      </c>
    </row>
    <row r="28" spans="1:4" ht="15" customHeight="1" x14ac:dyDescent="0.35">
      <c r="A28" s="13"/>
      <c r="B28" s="1" t="s">
        <v>23</v>
      </c>
      <c r="C28" s="1">
        <v>11</v>
      </c>
      <c r="D28" s="1">
        <v>42</v>
      </c>
    </row>
    <row r="29" spans="1:4" ht="15" customHeight="1" x14ac:dyDescent="0.35">
      <c r="A29" s="13"/>
      <c r="B29" s="1" t="s">
        <v>24</v>
      </c>
      <c r="C29" s="1">
        <v>16</v>
      </c>
      <c r="D29" s="1">
        <v>27</v>
      </c>
    </row>
    <row r="30" spans="1:4" ht="15" customHeight="1" x14ac:dyDescent="0.35">
      <c r="A30" s="13"/>
      <c r="B30" s="1" t="s">
        <v>25</v>
      </c>
      <c r="C30" s="1">
        <v>9</v>
      </c>
      <c r="D30" s="1">
        <v>24</v>
      </c>
    </row>
    <row r="31" spans="1:4" ht="15" customHeight="1" x14ac:dyDescent="0.35">
      <c r="A31" s="13"/>
      <c r="B31" s="1" t="s">
        <v>26</v>
      </c>
      <c r="C31" s="1">
        <v>12</v>
      </c>
      <c r="D31" s="1">
        <v>38</v>
      </c>
    </row>
    <row r="32" spans="1:4" ht="15" customHeight="1" x14ac:dyDescent="0.35">
      <c r="A32" s="13"/>
      <c r="B32" s="1" t="s">
        <v>27</v>
      </c>
      <c r="C32" s="1">
        <v>6</v>
      </c>
      <c r="D32" s="1">
        <v>41</v>
      </c>
    </row>
    <row r="33" spans="1:4" ht="15" customHeight="1" x14ac:dyDescent="0.35">
      <c r="A33" s="13"/>
      <c r="B33" s="1" t="s">
        <v>28</v>
      </c>
      <c r="C33" s="1">
        <v>9</v>
      </c>
      <c r="D33" s="1">
        <v>48</v>
      </c>
    </row>
    <row r="34" spans="1:4" ht="15" customHeight="1" x14ac:dyDescent="0.35">
      <c r="A34" s="13"/>
      <c r="B34" s="1" t="s">
        <v>29</v>
      </c>
      <c r="C34" s="1">
        <v>3</v>
      </c>
      <c r="D34" s="1">
        <v>30</v>
      </c>
    </row>
    <row r="35" spans="1:4" ht="15" customHeight="1" x14ac:dyDescent="0.35">
      <c r="A35" s="14"/>
      <c r="B35" s="8" t="s">
        <v>59</v>
      </c>
      <c r="C35" s="8">
        <f>AVERAGE(C25:C34)</f>
        <v>8.5</v>
      </c>
      <c r="D35" s="8">
        <f>AVERAGE(D25:D34)</f>
        <v>33.1</v>
      </c>
    </row>
    <row r="36" spans="1:4" ht="15" customHeight="1" x14ac:dyDescent="0.35">
      <c r="A36" s="12" t="s">
        <v>57</v>
      </c>
      <c r="B36" s="1" t="s">
        <v>30</v>
      </c>
      <c r="C36" s="1">
        <v>51</v>
      </c>
      <c r="D36" s="1">
        <v>333</v>
      </c>
    </row>
    <row r="37" spans="1:4" ht="15" customHeight="1" x14ac:dyDescent="0.35">
      <c r="A37" s="13"/>
      <c r="B37" s="1" t="s">
        <v>31</v>
      </c>
      <c r="C37" s="1">
        <v>49</v>
      </c>
      <c r="D37" s="1">
        <v>400</v>
      </c>
    </row>
    <row r="38" spans="1:4" ht="15" customHeight="1" x14ac:dyDescent="0.35">
      <c r="A38" s="13"/>
      <c r="B38" s="1" t="s">
        <v>32</v>
      </c>
      <c r="C38" s="1">
        <v>30</v>
      </c>
      <c r="D38" s="1">
        <v>329</v>
      </c>
    </row>
    <row r="39" spans="1:4" ht="15" customHeight="1" x14ac:dyDescent="0.35">
      <c r="A39" s="13"/>
      <c r="B39" s="1" t="s">
        <v>33</v>
      </c>
      <c r="C39" s="1">
        <v>45</v>
      </c>
      <c r="D39" s="1">
        <v>366</v>
      </c>
    </row>
    <row r="40" spans="1:4" ht="15" customHeight="1" x14ac:dyDescent="0.35">
      <c r="A40" s="13"/>
      <c r="B40" s="1" t="s">
        <v>34</v>
      </c>
      <c r="C40" s="1">
        <v>69</v>
      </c>
      <c r="D40" s="1">
        <v>342</v>
      </c>
    </row>
    <row r="41" spans="1:4" ht="15" customHeight="1" x14ac:dyDescent="0.35">
      <c r="A41" s="13"/>
      <c r="B41" s="1" t="s">
        <v>35</v>
      </c>
      <c r="C41" s="1">
        <v>104</v>
      </c>
      <c r="D41" s="1">
        <v>340</v>
      </c>
    </row>
    <row r="42" spans="1:4" ht="15" customHeight="1" x14ac:dyDescent="0.35">
      <c r="A42" s="13"/>
      <c r="B42" s="1" t="s">
        <v>36</v>
      </c>
      <c r="C42" s="1">
        <v>60</v>
      </c>
      <c r="D42" s="1">
        <v>412</v>
      </c>
    </row>
    <row r="43" spans="1:4" ht="15" customHeight="1" x14ac:dyDescent="0.35">
      <c r="A43" s="13"/>
      <c r="B43" s="1" t="s">
        <v>37</v>
      </c>
      <c r="C43" s="1">
        <v>74</v>
      </c>
      <c r="D43" s="1">
        <v>402</v>
      </c>
    </row>
    <row r="44" spans="1:4" ht="15" customHeight="1" x14ac:dyDescent="0.35">
      <c r="A44" s="13"/>
      <c r="B44" s="1" t="s">
        <v>38</v>
      </c>
      <c r="C44" s="1">
        <v>109</v>
      </c>
      <c r="D44" s="1">
        <v>398</v>
      </c>
    </row>
    <row r="45" spans="1:4" ht="15" customHeight="1" x14ac:dyDescent="0.35">
      <c r="A45" s="13"/>
      <c r="B45" s="1" t="s">
        <v>39</v>
      </c>
      <c r="C45" s="1">
        <v>73</v>
      </c>
      <c r="D45" s="1">
        <v>345</v>
      </c>
    </row>
    <row r="46" spans="1:4" ht="15" customHeight="1" x14ac:dyDescent="0.35">
      <c r="A46" s="14"/>
      <c r="B46" s="8" t="s">
        <v>59</v>
      </c>
      <c r="C46" s="8">
        <f>AVERAGE(C36:C45)</f>
        <v>66.400000000000006</v>
      </c>
      <c r="D46" s="8">
        <f>AVERAGE(D36:D45)</f>
        <v>366.7</v>
      </c>
    </row>
    <row r="47" spans="1:4" ht="15" customHeight="1" x14ac:dyDescent="0.35">
      <c r="A47" s="10" t="s">
        <v>58</v>
      </c>
      <c r="B47" s="1" t="s">
        <v>40</v>
      </c>
      <c r="C47" s="1">
        <v>148</v>
      </c>
      <c r="D47" s="1">
        <v>6291</v>
      </c>
    </row>
    <row r="48" spans="1:4" ht="15" customHeight="1" x14ac:dyDescent="0.35">
      <c r="A48" s="10"/>
      <c r="B48" s="1" t="s">
        <v>41</v>
      </c>
      <c r="C48" s="1">
        <v>815</v>
      </c>
      <c r="D48" s="1">
        <v>7241</v>
      </c>
    </row>
    <row r="49" spans="1:4" ht="15" customHeight="1" x14ac:dyDescent="0.35">
      <c r="A49" s="10"/>
      <c r="B49" s="1" t="s">
        <v>42</v>
      </c>
      <c r="C49" s="1">
        <v>376</v>
      </c>
      <c r="D49" s="1">
        <v>7498</v>
      </c>
    </row>
    <row r="50" spans="1:4" ht="15" customHeight="1" x14ac:dyDescent="0.35">
      <c r="A50" s="10"/>
      <c r="B50" s="1" t="s">
        <v>43</v>
      </c>
      <c r="C50" s="1">
        <v>595</v>
      </c>
      <c r="D50" s="1">
        <v>7344</v>
      </c>
    </row>
    <row r="51" spans="1:4" ht="15" customHeight="1" x14ac:dyDescent="0.35">
      <c r="A51" s="10"/>
      <c r="B51" s="1" t="s">
        <v>44</v>
      </c>
      <c r="C51" s="1">
        <v>532</v>
      </c>
      <c r="D51" s="1">
        <v>7460</v>
      </c>
    </row>
    <row r="52" spans="1:4" ht="15" customHeight="1" x14ac:dyDescent="0.35">
      <c r="A52" s="10"/>
      <c r="B52" s="1" t="s">
        <v>45</v>
      </c>
      <c r="C52" s="1">
        <v>989</v>
      </c>
      <c r="D52" s="1">
        <v>7316</v>
      </c>
    </row>
    <row r="53" spans="1:4" ht="15" customHeight="1" x14ac:dyDescent="0.35">
      <c r="A53" s="10"/>
      <c r="B53" s="1" t="s">
        <v>46</v>
      </c>
      <c r="C53" s="1">
        <v>289</v>
      </c>
      <c r="D53" s="1">
        <v>7261</v>
      </c>
    </row>
    <row r="54" spans="1:4" ht="15" customHeight="1" x14ac:dyDescent="0.35">
      <c r="A54" s="10"/>
      <c r="B54" s="1" t="s">
        <v>47</v>
      </c>
      <c r="C54" s="1">
        <v>479</v>
      </c>
      <c r="D54" s="1">
        <v>7358</v>
      </c>
    </row>
    <row r="55" spans="1:4" ht="15" customHeight="1" x14ac:dyDescent="0.35">
      <c r="A55" s="10"/>
      <c r="B55" s="1" t="s">
        <v>48</v>
      </c>
      <c r="C55" s="1">
        <v>396</v>
      </c>
      <c r="D55" s="1">
        <v>7306</v>
      </c>
    </row>
    <row r="56" spans="1:4" ht="15" customHeight="1" x14ac:dyDescent="0.35">
      <c r="A56" s="10"/>
      <c r="B56" s="1" t="s">
        <v>49</v>
      </c>
      <c r="C56" s="1">
        <v>825</v>
      </c>
      <c r="D56" s="1">
        <v>7226</v>
      </c>
    </row>
    <row r="57" spans="1:4" ht="15" customHeight="1" x14ac:dyDescent="0.35">
      <c r="A57" s="10"/>
      <c r="B57" s="8" t="s">
        <v>59</v>
      </c>
      <c r="C57" s="8">
        <f>AVERAGE(C47:C56)</f>
        <v>544.4</v>
      </c>
      <c r="D57" s="8">
        <f>AVERAGE(D47:D56)</f>
        <v>7230.1</v>
      </c>
    </row>
  </sheetData>
  <mergeCells count="9">
    <mergeCell ref="F1:F2"/>
    <mergeCell ref="G1:H1"/>
    <mergeCell ref="A3:A13"/>
    <mergeCell ref="A14:A24"/>
    <mergeCell ref="A25:A35"/>
    <mergeCell ref="A36:A46"/>
    <mergeCell ref="A47:A57"/>
    <mergeCell ref="C1:D1"/>
    <mergeCell ref="A1:B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65788-C706-4AAD-A116-CD5C79BC7C0A}">
  <dimension ref="A1"/>
  <sheetViews>
    <sheetView workbookViewId="0">
      <selection activeCell="J10" sqref="J10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Minh Hang D24CN06</dc:creator>
  <cp:lastModifiedBy>Pham Minh Hang D24CN06</cp:lastModifiedBy>
  <cp:lastPrinted>2025-11-20T16:43:12Z</cp:lastPrinted>
  <dcterms:created xsi:type="dcterms:W3CDTF">2025-11-20T16:14:56Z</dcterms:created>
  <dcterms:modified xsi:type="dcterms:W3CDTF">2025-11-20T16:45:58Z</dcterms:modified>
</cp:coreProperties>
</file>